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me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Recoleccion" sheetId="3" state="visible" r:id="rId3"/>
    <sheet xmlns:r="http://schemas.openxmlformats.org/officeDocument/2006/relationships" name="Liquid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;-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164" fontId="2" fillId="0" borderId="1" pivotButton="0" quotePrefix="0" xfId="0"/>
    <xf numFmtId="1" fontId="2" fillId="0" borderId="1" pivotButton="0" quotePrefix="0" xfId="0"/>
    <xf numFmtId="0" fontId="2" fillId="0" borderId="1" pivotButton="0" quotePrefix="0" xfId="0"/>
    <xf numFmtId="164" fontId="5" fillId="3" borderId="1" pivotButton="0" quotePrefix="0" xfId="0"/>
    <xf numFmtId="3" fontId="5" fillId="3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4" fontId="5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4" fontId="3" fillId="0" borderId="1" pivotButton="0" quotePrefix="0" xfId="0"/>
    <xf numFmtId="165" fontId="3" fillId="0" borderId="1" pivotButton="0" quotePrefix="0" xfId="0"/>
    <xf numFmtId="1" fontId="3" fillId="4" borderId="1" pivotButton="0" quotePrefix="0" xfId="0"/>
    <xf numFmtId="1" fontId="5" fillId="0" borderId="1" pivotButton="0" quotePrefix="0" xfId="0"/>
    <xf numFmtId="2" fontId="5" fillId="0" borderId="1" pivotButton="0" quotePrefix="0" xfId="0"/>
    <xf numFmtId="4" fontId="2" fillId="0" borderId="1" pivotButton="0" quotePrefix="0" xfId="0"/>
    <xf numFmtId="165" fontId="5" fillId="0" borderId="1" pivotButton="0" quotePrefix="0" xfId="0"/>
    <xf numFmtId="0" fontId="2" fillId="0" borderId="1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E3" authorId="0" shapeId="0">
      <text>
        <t>Precio hipotético para simular un cambio a mitad de quincena. No existe en la BD.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17" authorId="0" shapeId="0">
      <text>
        <t>En la liquidación variable, precio_litro se guarda como promedio ponderado = ingresos / litros, para que las pantallas actuales sigan funcionando.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Ejemplo: liquidación fija vs variable (muestra pequeña)</t>
        </is>
      </c>
    </row>
    <row r="2">
      <c r="A2" s="2" t="inlineStr">
        <is>
          <t>Un socio real del demo (id 16, asociado), primera quincena de agosto de 2026 (1 al 15), con sus litros diarios reales.</t>
        </is>
      </c>
    </row>
    <row r="3">
      <c r="A3" s="2" t="inlineStr"/>
    </row>
    <row r="4">
      <c r="A4" s="3" t="inlineStr">
        <is>
          <t>Qué se ve aquí</t>
        </is>
      </c>
    </row>
    <row r="5">
      <c r="A5" s="2" t="inlineStr">
        <is>
          <t>1. Hoja Precios: el historial de precios con fecha_inicio y fecha_fin (vacía = abierto) y una prueba de que no hay solapes.</t>
        </is>
      </c>
    </row>
    <row r="6">
      <c r="A6" s="2" t="inlineStr">
        <is>
          <t>2. Hoja Recoleccion: los 15 días, el precio que regía cada día y el subtotal de cada día.</t>
        </is>
      </c>
    </row>
    <row r="7">
      <c r="A7" s="2" t="inlineStr">
        <is>
          <t>3. Hoja Liquidacion: las dos formas de liquidar, el desglose por tramos y las comprobaciones de integridad.</t>
        </is>
      </c>
    </row>
    <row r="8">
      <c r="A8" s="2" t="inlineStr"/>
    </row>
    <row r="9">
      <c r="A9" s="3" t="inlineStr">
        <is>
          <t>Supuestos (para que no se confundan con datos reales)</t>
        </is>
      </c>
    </row>
    <row r="10">
      <c r="A10" s="2" t="inlineStr">
        <is>
          <t>- Los litros, los deducibles, el anticipo y los valores guardados en la BD son reales (base de desarrollo, datos demo).</t>
        </is>
      </c>
    </row>
    <row r="11">
      <c r="A11" s="2" t="inlineStr">
        <is>
          <t>- El precio de 1.800 desde el 2026-08-08 es HIPOTÉTICO (celda en amarillo en Precios): sirve para simular un cambio a mitad de quincena. En la BD el precio sigue en 1.700.</t>
        </is>
      </c>
    </row>
    <row r="12">
      <c r="A12" s="2" t="inlineStr">
        <is>
          <t>- Fedegán es un porcentaje (0,75 = 0,75 %); administración y ahorro son valores fijos por liquidación, como calcula hoy el procedimiento.</t>
        </is>
      </c>
    </row>
    <row r="13">
      <c r="A13" s="2" t="inlineStr">
        <is>
          <t>- Texto en azul = dato de entrada; negro = fórmula. Cambia el precio hipotético o los litros y todo se recalcula.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20" customWidth="1" min="4" max="4"/>
    <col width="18" customWidth="1" min="5" max="5"/>
    <col width="16" customWidth="1" min="6" max="6"/>
    <col width="22" customWidth="1" min="7" max="7"/>
    <col width="70" customWidth="1" min="8" max="8"/>
  </cols>
  <sheetData>
    <row r="1" ht="42" customHeight="1">
      <c r="A1" s="4" t="inlineStr">
        <is>
          <t>id_precio</t>
        </is>
      </c>
      <c r="B1" s="4" t="inlineStr">
        <is>
          <t>vinculacion</t>
        </is>
      </c>
      <c r="C1" s="4" t="inlineStr">
        <is>
          <t>fecha_inicio</t>
        </is>
      </c>
      <c r="D1" s="4" t="inlineStr">
        <is>
          <t>fecha_fin (vacía = abierto)</t>
        </is>
      </c>
      <c r="E1" s="4" t="inlineStr">
        <is>
          <t>precio por litro (COP)</t>
        </is>
      </c>
      <c r="F1" s="4" t="inlineStr">
        <is>
          <t>fecha_fin efectiva</t>
        </is>
      </c>
      <c r="G1" s="4" t="inlineStr">
        <is>
          <t>solapes con otro rango (debe ser 0)</t>
        </is>
      </c>
      <c r="H1" s="4" t="inlineStr">
        <is>
          <t>nota</t>
        </is>
      </c>
    </row>
    <row r="2">
      <c r="A2" s="5" t="n">
        <v>1</v>
      </c>
      <c r="B2" s="5" t="inlineStr">
        <is>
          <t>asociado</t>
        </is>
      </c>
      <c r="C2" s="6" t="n">
        <v>44927</v>
      </c>
      <c r="D2" s="6" t="n">
        <v>46241</v>
      </c>
      <c r="E2" s="7" t="n">
        <v>1700</v>
      </c>
      <c r="F2" s="8">
        <f>IF(D2="",DATE(2999,12,31),D2)</f>
        <v/>
      </c>
      <c r="G2" s="9">
        <f>SUMPRODUCT(($B$2:$B$4=B2)*(ROW($B$2:$B$4)&lt;&gt;ROW())*($C$2:$C$4&lt;=F2)*($F$2:$F$4&gt;=C2))</f>
        <v/>
      </c>
      <c r="H2" s="10" t="inlineStr">
        <is>
          <t>Precio real de la BD; aquí se supone cerrado el 7 de agosto</t>
        </is>
      </c>
    </row>
    <row r="3">
      <c r="A3" s="5" t="n">
        <v>2</v>
      </c>
      <c r="B3" s="5" t="inlineStr">
        <is>
          <t>asociado</t>
        </is>
      </c>
      <c r="C3" s="11" t="n">
        <v>46242</v>
      </c>
      <c r="D3" s="6" t="n"/>
      <c r="E3" s="12" t="n">
        <v>1800</v>
      </c>
      <c r="F3" s="8">
        <f>IF(D3="",DATE(2999,12,31),D3)</f>
        <v/>
      </c>
      <c r="G3" s="9">
        <f>SUMPRODUCT(($B$2:$B$4=B3)*(ROW($B$2:$B$4)&lt;&gt;ROW())*($C$2:$C$4&lt;=F3)*($F$2:$F$4&gt;=C3))</f>
        <v/>
      </c>
      <c r="H3" s="10" t="inlineStr">
        <is>
          <t>HIPOTÉTICO: nuevo precio abierto desde el 8 de agosto</t>
        </is>
      </c>
    </row>
    <row r="4">
      <c r="A4" s="5" t="n">
        <v>3</v>
      </c>
      <c r="B4" s="5" t="inlineStr">
        <is>
          <t>proveedor</t>
        </is>
      </c>
      <c r="C4" s="6" t="n">
        <v>44958</v>
      </c>
      <c r="D4" s="6" t="n"/>
      <c r="E4" s="7" t="n">
        <v>1650</v>
      </c>
      <c r="F4" s="8">
        <f>IF(D4="",DATE(2999,12,31),D4)</f>
        <v/>
      </c>
      <c r="G4" s="9">
        <f>SUMPRODUCT(($B$2:$B$4=B4)*(ROW($B$2:$B$4)&lt;&gt;ROW())*($C$2:$C$4&lt;=F4)*($F$2:$F$4&gt;=C4))</f>
        <v/>
      </c>
      <c r="H4" s="10" t="inlineStr">
        <is>
          <t>Precio real de la BD; no interviene en este ejemplo</t>
        </is>
      </c>
    </row>
    <row r="6">
      <c r="A6" s="13" t="inlineStr">
        <is>
          <t>Control de solapes</t>
        </is>
      </c>
      <c r="B6" s="14">
        <f>IF(SUM(G2:G4)=0,"OK: ningún rango se solapa","REVISAR: hay rangos solapados")</f>
        <v/>
      </c>
      <c r="C6" s="15" t="n"/>
      <c r="D6" s="16" t="n"/>
    </row>
    <row r="8">
      <c r="A8" s="17" t="inlineStr">
        <is>
          <t>Regla: dos rangos de la misma vinculación se solapan si inicio1 &lt;= fin2 y fin1 &gt;= inicio2. En la BD real lo haría un trigger; aquí se prueba con la columna G.</t>
        </is>
      </c>
    </row>
  </sheetData>
  <mergeCells count="1">
    <mergeCell ref="B6:D6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8" customWidth="1" min="4" max="4"/>
    <col width="26" customWidth="1" min="5" max="5"/>
    <col width="20" customWidth="1" min="6" max="6"/>
    <col width="26" customWidth="1" min="7" max="7"/>
  </cols>
  <sheetData>
    <row r="1" ht="55" customHeight="1">
      <c r="A1" s="4" t="inlineStr">
        <is>
          <t>fecha</t>
        </is>
      </c>
      <c r="B1" s="4" t="inlineStr">
        <is>
          <t>litros_leche (BD)</t>
        </is>
      </c>
      <c r="C1" s="4" t="inlineStr">
        <is>
          <t>estado (BD)</t>
        </is>
      </c>
      <c r="D1" s="4" t="inlineStr">
        <is>
          <t>precio vigente ese día</t>
        </is>
      </c>
      <c r="E1" s="4" t="inlineStr">
        <is>
          <t>subtotal variable (litros × precio del día)</t>
        </is>
      </c>
      <c r="F1" s="4" t="inlineStr">
        <is>
          <t>precio fijo (vigente al cierre)</t>
        </is>
      </c>
      <c r="G1" s="4" t="inlineStr">
        <is>
          <t>subtotal fijo (litros × precio al cierre)</t>
        </is>
      </c>
    </row>
    <row r="2">
      <c r="A2" s="6" t="n">
        <v>46235</v>
      </c>
      <c r="B2" s="18" t="n">
        <v>59.95</v>
      </c>
      <c r="C2" s="5" t="inlineStr">
        <is>
          <t>confirmado</t>
        </is>
      </c>
      <c r="D2" s="19">
        <f>SUMPRODUCT((Precios!$B$2:$B$4=Liquidacion!$B$5)*(Precios!$C$2:$C$4&lt;=A2)*(Precios!$F$2:$F$4&gt;=A2)*Precios!$E$2:$E$4)</f>
        <v/>
      </c>
      <c r="E2" s="20">
        <f>ROUND(B2*D2,2)</f>
        <v/>
      </c>
      <c r="F2" s="19">
        <f>Liquidacion!$B$12</f>
        <v/>
      </c>
      <c r="G2" s="20">
        <f>ROUND(B2*F2,2)</f>
        <v/>
      </c>
    </row>
    <row r="3">
      <c r="A3" s="6" t="n">
        <v>46236</v>
      </c>
      <c r="B3" s="18" t="n">
        <v>63.83</v>
      </c>
      <c r="C3" s="5" t="inlineStr">
        <is>
          <t>confirmado</t>
        </is>
      </c>
      <c r="D3" s="19">
        <f>SUMPRODUCT((Precios!$B$2:$B$4=Liquidacion!$B$5)*(Precios!$C$2:$C$4&lt;=A3)*(Precios!$F$2:$F$4&gt;=A3)*Precios!$E$2:$E$4)</f>
        <v/>
      </c>
      <c r="E3" s="20">
        <f>ROUND(B3*D3,2)</f>
        <v/>
      </c>
      <c r="F3" s="19">
        <f>Liquidacion!$B$12</f>
        <v/>
      </c>
      <c r="G3" s="20">
        <f>ROUND(B3*F3,2)</f>
        <v/>
      </c>
    </row>
    <row r="4">
      <c r="A4" s="6" t="n">
        <v>46237</v>
      </c>
      <c r="B4" s="18" t="n">
        <v>61.05</v>
      </c>
      <c r="C4" s="5" t="inlineStr">
        <is>
          <t>confirmado</t>
        </is>
      </c>
      <c r="D4" s="19">
        <f>SUMPRODUCT((Precios!$B$2:$B$4=Liquidacion!$B$5)*(Precios!$C$2:$C$4&lt;=A4)*(Precios!$F$2:$F$4&gt;=A4)*Precios!$E$2:$E$4)</f>
        <v/>
      </c>
      <c r="E4" s="20">
        <f>ROUND(B4*D4,2)</f>
        <v/>
      </c>
      <c r="F4" s="19">
        <f>Liquidacion!$B$12</f>
        <v/>
      </c>
      <c r="G4" s="20">
        <f>ROUND(B4*F4,2)</f>
        <v/>
      </c>
    </row>
    <row r="5">
      <c r="A5" s="6" t="n">
        <v>46238</v>
      </c>
      <c r="B5" s="18" t="n">
        <v>58.77</v>
      </c>
      <c r="C5" s="5" t="inlineStr">
        <is>
          <t>confirmado</t>
        </is>
      </c>
      <c r="D5" s="19">
        <f>SUMPRODUCT((Precios!$B$2:$B$4=Liquidacion!$B$5)*(Precios!$C$2:$C$4&lt;=A5)*(Precios!$F$2:$F$4&gt;=A5)*Precios!$E$2:$E$4)</f>
        <v/>
      </c>
      <c r="E5" s="20">
        <f>ROUND(B5*D5,2)</f>
        <v/>
      </c>
      <c r="F5" s="19">
        <f>Liquidacion!$B$12</f>
        <v/>
      </c>
      <c r="G5" s="20">
        <f>ROUND(B5*F5,2)</f>
        <v/>
      </c>
    </row>
    <row r="6">
      <c r="A6" s="6" t="n">
        <v>46239</v>
      </c>
      <c r="B6" s="18" t="n">
        <v>60.3</v>
      </c>
      <c r="C6" s="5" t="inlineStr">
        <is>
          <t>confirmado</t>
        </is>
      </c>
      <c r="D6" s="19">
        <f>SUMPRODUCT((Precios!$B$2:$B$4=Liquidacion!$B$5)*(Precios!$C$2:$C$4&lt;=A6)*(Precios!$F$2:$F$4&gt;=A6)*Precios!$E$2:$E$4)</f>
        <v/>
      </c>
      <c r="E6" s="20">
        <f>ROUND(B6*D6,2)</f>
        <v/>
      </c>
      <c r="F6" s="19">
        <f>Liquidacion!$B$12</f>
        <v/>
      </c>
      <c r="G6" s="20">
        <f>ROUND(B6*F6,2)</f>
        <v/>
      </c>
    </row>
    <row r="7">
      <c r="A7" s="6" t="n">
        <v>46240</v>
      </c>
      <c r="B7" s="18" t="n">
        <v>60.3</v>
      </c>
      <c r="C7" s="5" t="inlineStr">
        <is>
          <t>confirmado</t>
        </is>
      </c>
      <c r="D7" s="19">
        <f>SUMPRODUCT((Precios!$B$2:$B$4=Liquidacion!$B$5)*(Precios!$C$2:$C$4&lt;=A7)*(Precios!$F$2:$F$4&gt;=A7)*Precios!$E$2:$E$4)</f>
        <v/>
      </c>
      <c r="E7" s="20">
        <f>ROUND(B7*D7,2)</f>
        <v/>
      </c>
      <c r="F7" s="19">
        <f>Liquidacion!$B$12</f>
        <v/>
      </c>
      <c r="G7" s="20">
        <f>ROUND(B7*F7,2)</f>
        <v/>
      </c>
    </row>
    <row r="8">
      <c r="A8" s="6" t="n">
        <v>46241</v>
      </c>
      <c r="B8" s="18" t="n">
        <v>68.91</v>
      </c>
      <c r="C8" s="5" t="inlineStr">
        <is>
          <t>confirmado</t>
        </is>
      </c>
      <c r="D8" s="19">
        <f>SUMPRODUCT((Precios!$B$2:$B$4=Liquidacion!$B$5)*(Precios!$C$2:$C$4&lt;=A8)*(Precios!$F$2:$F$4&gt;=A8)*Precios!$E$2:$E$4)</f>
        <v/>
      </c>
      <c r="E8" s="20">
        <f>ROUND(B8*D8,2)</f>
        <v/>
      </c>
      <c r="F8" s="19">
        <f>Liquidacion!$B$12</f>
        <v/>
      </c>
      <c r="G8" s="20">
        <f>ROUND(B8*F8,2)</f>
        <v/>
      </c>
    </row>
    <row r="9">
      <c r="A9" s="6" t="n">
        <v>46242</v>
      </c>
      <c r="B9" s="18" t="n">
        <v>64.48</v>
      </c>
      <c r="C9" s="5" t="inlineStr">
        <is>
          <t>confirmado</t>
        </is>
      </c>
      <c r="D9" s="19">
        <f>SUMPRODUCT((Precios!$B$2:$B$4=Liquidacion!$B$5)*(Precios!$C$2:$C$4&lt;=A9)*(Precios!$F$2:$F$4&gt;=A9)*Precios!$E$2:$E$4)</f>
        <v/>
      </c>
      <c r="E9" s="20">
        <f>ROUND(B9*D9,2)</f>
        <v/>
      </c>
      <c r="F9" s="19">
        <f>Liquidacion!$B$12</f>
        <v/>
      </c>
      <c r="G9" s="20">
        <f>ROUND(B9*F9,2)</f>
        <v/>
      </c>
    </row>
    <row r="10">
      <c r="A10" s="6" t="n">
        <v>46243</v>
      </c>
      <c r="B10" s="18" t="n">
        <v>67.81999999999999</v>
      </c>
      <c r="C10" s="5" t="inlineStr">
        <is>
          <t>confirmado</t>
        </is>
      </c>
      <c r="D10" s="19">
        <f>SUMPRODUCT((Precios!$B$2:$B$4=Liquidacion!$B$5)*(Precios!$C$2:$C$4&lt;=A10)*(Precios!$F$2:$F$4&gt;=A10)*Precios!$E$2:$E$4)</f>
        <v/>
      </c>
      <c r="E10" s="20">
        <f>ROUND(B10*D10,2)</f>
        <v/>
      </c>
      <c r="F10" s="19">
        <f>Liquidacion!$B$12</f>
        <v/>
      </c>
      <c r="G10" s="20">
        <f>ROUND(B10*F10,2)</f>
        <v/>
      </c>
    </row>
    <row r="11">
      <c r="A11" s="6" t="n">
        <v>46244</v>
      </c>
      <c r="B11" s="18" t="n">
        <v>62.73</v>
      </c>
      <c r="C11" s="5" t="inlineStr">
        <is>
          <t>confirmado</t>
        </is>
      </c>
      <c r="D11" s="19">
        <f>SUMPRODUCT((Precios!$B$2:$B$4=Liquidacion!$B$5)*(Precios!$C$2:$C$4&lt;=A11)*(Precios!$F$2:$F$4&gt;=A11)*Precios!$E$2:$E$4)</f>
        <v/>
      </c>
      <c r="E11" s="20">
        <f>ROUND(B11*D11,2)</f>
        <v/>
      </c>
      <c r="F11" s="19">
        <f>Liquidacion!$B$12</f>
        <v/>
      </c>
      <c r="G11" s="20">
        <f>ROUND(B11*F11,2)</f>
        <v/>
      </c>
    </row>
    <row r="12">
      <c r="A12" s="6" t="n">
        <v>46245</v>
      </c>
      <c r="B12" s="18" t="n">
        <v>61.78</v>
      </c>
      <c r="C12" s="5" t="inlineStr">
        <is>
          <t>confirmado</t>
        </is>
      </c>
      <c r="D12" s="19">
        <f>SUMPRODUCT((Precios!$B$2:$B$4=Liquidacion!$B$5)*(Precios!$C$2:$C$4&lt;=A12)*(Precios!$F$2:$F$4&gt;=A12)*Precios!$E$2:$E$4)</f>
        <v/>
      </c>
      <c r="E12" s="20">
        <f>ROUND(B12*D12,2)</f>
        <v/>
      </c>
      <c r="F12" s="19">
        <f>Liquidacion!$B$12</f>
        <v/>
      </c>
      <c r="G12" s="20">
        <f>ROUND(B12*F12,2)</f>
        <v/>
      </c>
    </row>
    <row r="13">
      <c r="A13" s="6" t="n">
        <v>46246</v>
      </c>
      <c r="B13" s="18" t="n">
        <v>66.09999999999999</v>
      </c>
      <c r="C13" s="5" t="inlineStr">
        <is>
          <t>confirmado</t>
        </is>
      </c>
      <c r="D13" s="19">
        <f>SUMPRODUCT((Precios!$B$2:$B$4=Liquidacion!$B$5)*(Precios!$C$2:$C$4&lt;=A13)*(Precios!$F$2:$F$4&gt;=A13)*Precios!$E$2:$E$4)</f>
        <v/>
      </c>
      <c r="E13" s="20">
        <f>ROUND(B13*D13,2)</f>
        <v/>
      </c>
      <c r="F13" s="19">
        <f>Liquidacion!$B$12</f>
        <v/>
      </c>
      <c r="G13" s="20">
        <f>ROUND(B13*F13,2)</f>
        <v/>
      </c>
    </row>
    <row r="14">
      <c r="A14" s="6" t="n">
        <v>46247</v>
      </c>
      <c r="B14" s="18" t="n">
        <v>70.15000000000001</v>
      </c>
      <c r="C14" s="5" t="inlineStr">
        <is>
          <t>confirmado</t>
        </is>
      </c>
      <c r="D14" s="19">
        <f>SUMPRODUCT((Precios!$B$2:$B$4=Liquidacion!$B$5)*(Precios!$C$2:$C$4&lt;=A14)*(Precios!$F$2:$F$4&gt;=A14)*Precios!$E$2:$E$4)</f>
        <v/>
      </c>
      <c r="E14" s="20">
        <f>ROUND(B14*D14,2)</f>
        <v/>
      </c>
      <c r="F14" s="19">
        <f>Liquidacion!$B$12</f>
        <v/>
      </c>
      <c r="G14" s="20">
        <f>ROUND(B14*F14,2)</f>
        <v/>
      </c>
    </row>
    <row r="15">
      <c r="A15" s="6" t="n">
        <v>46248</v>
      </c>
      <c r="B15" s="18" t="n">
        <v>64.19</v>
      </c>
      <c r="C15" s="5" t="inlineStr">
        <is>
          <t>confirmado</t>
        </is>
      </c>
      <c r="D15" s="19">
        <f>SUMPRODUCT((Precios!$B$2:$B$4=Liquidacion!$B$5)*(Precios!$C$2:$C$4&lt;=A15)*(Precios!$F$2:$F$4&gt;=A15)*Precios!$E$2:$E$4)</f>
        <v/>
      </c>
      <c r="E15" s="20">
        <f>ROUND(B15*D15,2)</f>
        <v/>
      </c>
      <c r="F15" s="19">
        <f>Liquidacion!$B$12</f>
        <v/>
      </c>
      <c r="G15" s="20">
        <f>ROUND(B15*F15,2)</f>
        <v/>
      </c>
    </row>
    <row r="16">
      <c r="A16" s="6" t="n">
        <v>46249</v>
      </c>
      <c r="B16" s="18" t="n">
        <v>71.69</v>
      </c>
      <c r="C16" s="5" t="inlineStr">
        <is>
          <t>confirmado</t>
        </is>
      </c>
      <c r="D16" s="19">
        <f>SUMPRODUCT((Precios!$B$2:$B$4=Liquidacion!$B$5)*(Precios!$C$2:$C$4&lt;=A16)*(Precios!$F$2:$F$4&gt;=A16)*Precios!$E$2:$E$4)</f>
        <v/>
      </c>
      <c r="E16" s="20">
        <f>ROUND(B16*D16,2)</f>
        <v/>
      </c>
      <c r="F16" s="19">
        <f>Liquidacion!$B$12</f>
        <v/>
      </c>
      <c r="G16" s="20">
        <f>ROUND(B16*F16,2)</f>
        <v/>
      </c>
    </row>
    <row r="17">
      <c r="A17" s="13" t="inlineStr">
        <is>
          <t>Total</t>
        </is>
      </c>
      <c r="B17" s="21">
        <f>SUM(B2:B16)</f>
        <v/>
      </c>
      <c r="E17" s="22">
        <f>SUM(E2:E16)</f>
        <v/>
      </c>
      <c r="G17" s="22">
        <f>SUM(G2:G16)</f>
        <v/>
      </c>
    </row>
    <row r="19">
      <c r="A19" s="10" t="inlineStr">
        <is>
          <t>Días sin precio vigente (debe ser 0)</t>
        </is>
      </c>
      <c r="D19" s="23">
        <f>COUNTIF(D2:D16,0)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2" customWidth="1" min="1" max="1"/>
    <col width="24" customWidth="1" min="2" max="2"/>
    <col width="26" customWidth="1" min="3" max="3"/>
    <col width="30" customWidth="1" min="4" max="4"/>
    <col width="28" customWidth="1" min="5" max="5"/>
    <col width="18" customWidth="1" min="6" max="6"/>
  </cols>
  <sheetData>
    <row r="1">
      <c r="A1" s="1" t="inlineStr">
        <is>
          <t>Liquidación del socio 16 — 1ra quincena de agosto de 2026</t>
        </is>
      </c>
    </row>
    <row r="3">
      <c r="A3" s="3" t="inlineStr">
        <is>
          <t>Parámetros (datos reales de la BD de desarrollo, salvo lo indicado)</t>
        </is>
      </c>
    </row>
    <row r="4">
      <c r="A4" s="10" t="inlineStr">
        <is>
          <t>Socio (id_socio)</t>
        </is>
      </c>
      <c r="B4" s="24" t="n">
        <v>16</v>
      </c>
    </row>
    <row r="5">
      <c r="A5" s="10" t="inlineStr">
        <is>
          <t>Vinculación</t>
        </is>
      </c>
      <c r="B5" s="5" t="inlineStr">
        <is>
          <t>asociado</t>
        </is>
      </c>
    </row>
    <row r="6">
      <c r="A6" s="10" t="inlineStr">
        <is>
          <t>Identificación</t>
        </is>
      </c>
      <c r="B6" s="5" t="inlineStr">
        <is>
          <t>27181884</t>
        </is>
      </c>
    </row>
    <row r="7">
      <c r="A7" s="10" t="inlineStr">
        <is>
          <t>Quincena</t>
        </is>
      </c>
      <c r="B7" s="5" t="inlineStr">
        <is>
          <t>1ra</t>
        </is>
      </c>
    </row>
    <row r="8">
      <c r="A8" s="10" t="inlineStr">
        <is>
          <t>Fecha de cierre (fecha_liquidacion)</t>
        </is>
      </c>
      <c r="B8" s="6" t="n">
        <v>46249</v>
      </c>
    </row>
    <row r="9">
      <c r="A9" s="10" t="inlineStr">
        <is>
          <t>Fedegán (% sobre ingresos)</t>
        </is>
      </c>
      <c r="B9" s="25" t="n">
        <v>0.75</v>
      </c>
    </row>
    <row r="10">
      <c r="A10" s="10" t="inlineStr">
        <is>
          <t>Administración (valor fijo)</t>
        </is>
      </c>
      <c r="B10" s="18" t="n">
        <v>10000</v>
      </c>
    </row>
    <row r="11">
      <c r="A11" s="10" t="inlineStr">
        <is>
          <t>Ahorro (valor fijo)</t>
        </is>
      </c>
      <c r="B11" s="18" t="n">
        <v>25000</v>
      </c>
    </row>
    <row r="12">
      <c r="A12" s="10" t="inlineStr">
        <is>
          <t>Precio vigente al cierre (para la fija)</t>
        </is>
      </c>
      <c r="B12" s="19">
        <f>SUMPRODUCT((Precios!$B$2:$B$4=B5)*(Precios!$C$2:$C$4&lt;=B8)*(Precios!$F$2:$F$4&gt;=B8)*Precios!$E$2:$E$4)</f>
        <v/>
      </c>
    </row>
    <row r="13">
      <c r="A13" s="10" t="inlineStr">
        <is>
          <t>Anticipos aprobados de la quincena (anticipo 3, 2026-08-04)</t>
        </is>
      </c>
      <c r="B13" s="18" t="n">
        <v>84872</v>
      </c>
    </row>
    <row r="15" ht="42" customHeight="1">
      <c r="A15" s="4" t="inlineStr">
        <is>
          <t>Concepto</t>
        </is>
      </c>
      <c r="B15" s="4" t="inlineStr">
        <is>
          <t>FIJA (precio al cierre)</t>
        </is>
      </c>
      <c r="C15" s="4" t="inlineStr">
        <is>
          <t>VARIABLE (precio por día)</t>
        </is>
      </c>
      <c r="D15" s="4" t="inlineStr">
        <is>
          <t>Referencia: precio único de la BD (1.700)</t>
        </is>
      </c>
      <c r="E15" s="4" t="inlineStr">
        <is>
          <t>Guardado en la BD (tbl_liquidacion)</t>
        </is>
      </c>
    </row>
    <row r="16">
      <c r="A16" s="10" t="inlineStr">
        <is>
          <t>Total litros</t>
        </is>
      </c>
      <c r="B16" s="26">
        <f>Recoleccion!B17</f>
        <v/>
      </c>
      <c r="C16" s="26">
        <f>Recoleccion!B17</f>
        <v/>
      </c>
      <c r="D16" s="26">
        <f>Recoleccion!B17</f>
        <v/>
      </c>
      <c r="E16" s="18" t="n">
        <v>962.05</v>
      </c>
    </row>
    <row r="17">
      <c r="A17" s="10" t="inlineStr">
        <is>
          <t>Precio por litro</t>
        </is>
      </c>
      <c r="B17" s="26">
        <f>B12</f>
        <v/>
      </c>
      <c r="C17" s="26">
        <f>ROUND(C18/C16,2)</f>
        <v/>
      </c>
      <c r="D17" s="18" t="n">
        <v>1700</v>
      </c>
      <c r="E17" s="18" t="n">
        <v>1700</v>
      </c>
    </row>
    <row r="18">
      <c r="A18" s="13" t="inlineStr">
        <is>
          <t>Total ingresos</t>
        </is>
      </c>
      <c r="B18" s="20">
        <f>Recoleccion!G17</f>
        <v/>
      </c>
      <c r="C18" s="20">
        <f>Recoleccion!E17</f>
        <v/>
      </c>
      <c r="D18" s="20">
        <f>ROUND(D16*D17,2)</f>
        <v/>
      </c>
      <c r="E18" s="27" t="n">
        <v>1635485</v>
      </c>
    </row>
    <row r="19">
      <c r="A19" s="10" t="inlineStr">
        <is>
          <t>Fedegán</t>
        </is>
      </c>
      <c r="B19" s="20">
        <f>ROUND(B18*$B$9/100,2)</f>
        <v/>
      </c>
      <c r="C19" s="20">
        <f>ROUND(C18*$B$9/100,2)</f>
        <v/>
      </c>
      <c r="D19" s="20">
        <f>ROUND(D18*$B$9/100,2)</f>
        <v/>
      </c>
      <c r="E19" s="27" t="n">
        <v>12266.14</v>
      </c>
    </row>
    <row r="20">
      <c r="A20" s="10" t="inlineStr">
        <is>
          <t>Administración</t>
        </is>
      </c>
      <c r="B20" s="20">
        <f>$B$10</f>
        <v/>
      </c>
      <c r="C20" s="20">
        <f>$B$10</f>
        <v/>
      </c>
      <c r="D20" s="20">
        <f>$B$10</f>
        <v/>
      </c>
      <c r="E20" s="27" t="n">
        <v>10000</v>
      </c>
    </row>
    <row r="21">
      <c r="A21" s="10" t="inlineStr">
        <is>
          <t>Ahorro</t>
        </is>
      </c>
      <c r="B21" s="20">
        <f>$B$11</f>
        <v/>
      </c>
      <c r="C21" s="20">
        <f>$B$11</f>
        <v/>
      </c>
      <c r="D21" s="20">
        <f>$B$11</f>
        <v/>
      </c>
      <c r="E21" s="27" t="n">
        <v>25000</v>
      </c>
    </row>
    <row r="22">
      <c r="A22" s="10" t="inlineStr">
        <is>
          <t>Total deducibles</t>
        </is>
      </c>
      <c r="B22" s="20">
        <f>B19+B20+B21</f>
        <v/>
      </c>
      <c r="C22" s="20">
        <f>C19+C20+C21</f>
        <v/>
      </c>
      <c r="D22" s="20">
        <f>D19+D20+D21</f>
        <v/>
      </c>
      <c r="E22" s="27" t="n">
        <v>47266.14</v>
      </c>
    </row>
    <row r="23">
      <c r="A23" s="10" t="inlineStr">
        <is>
          <t>Anticipos aprobados</t>
        </is>
      </c>
      <c r="B23" s="20">
        <f>$B$13</f>
        <v/>
      </c>
      <c r="C23" s="20">
        <f>$B$13</f>
        <v/>
      </c>
      <c r="D23" s="20">
        <f>$B$13</f>
        <v/>
      </c>
      <c r="E23" s="27" t="n">
        <v>84872</v>
      </c>
    </row>
    <row r="24">
      <c r="A24" s="13" t="inlineStr">
        <is>
          <t>Neto a pagar</t>
        </is>
      </c>
      <c r="B24" s="20">
        <f>B18-B22-B23</f>
        <v/>
      </c>
      <c r="C24" s="20">
        <f>C18-C22-C23</f>
        <v/>
      </c>
      <c r="D24" s="20">
        <f>D18-D22-D23</f>
        <v/>
      </c>
      <c r="E24" s="27" t="n">
        <v>1503346.86</v>
      </c>
    </row>
    <row r="26">
      <c r="A26" s="3" t="inlineStr">
        <is>
          <t>Desglose por tramos (lo que se guardaría en la columna JSON detalle_precios de la liquidación variable)</t>
        </is>
      </c>
    </row>
    <row r="27" ht="18" customHeight="1">
      <c r="A27" s="4" t="inlineStr">
        <is>
          <t>Tramo</t>
        </is>
      </c>
      <c r="B27" s="4" t="inlineStr">
        <is>
          <t>desde</t>
        </is>
      </c>
      <c r="C27" s="4" t="inlineStr">
        <is>
          <t>hasta</t>
        </is>
      </c>
      <c r="D27" s="4" t="inlineStr">
        <is>
          <t>litros</t>
        </is>
      </c>
      <c r="E27" s="4" t="inlineStr">
        <is>
          <t>precio</t>
        </is>
      </c>
      <c r="F27" s="4" t="inlineStr">
        <is>
          <t>subtotal</t>
        </is>
      </c>
    </row>
    <row r="28">
      <c r="A28" s="9" t="n">
        <v>1</v>
      </c>
      <c r="B28" s="8">
        <f>_xlfn.MINIFS(Recoleccion!$A$2:$A$16,Recoleccion!$D$2:$D$16,E28)</f>
        <v/>
      </c>
      <c r="C28" s="8">
        <f>_xlfn.MAXIFS(Recoleccion!$A$2:$A$16,Recoleccion!$D$2:$D$16,E28)</f>
        <v/>
      </c>
      <c r="D28" s="26">
        <f>SUMIFS(Recoleccion!$B$2:$B$16,Recoleccion!$D$2:$D$16,E28)</f>
        <v/>
      </c>
      <c r="E28" s="19">
        <f>Precios!$E$2</f>
        <v/>
      </c>
      <c r="F28" s="20">
        <f>ROUND(D28*E28,2)</f>
        <v/>
      </c>
    </row>
    <row r="29">
      <c r="A29" s="9" t="n">
        <v>2</v>
      </c>
      <c r="B29" s="8">
        <f>_xlfn.MINIFS(Recoleccion!$A$2:$A$16,Recoleccion!$D$2:$D$16,E29)</f>
        <v/>
      </c>
      <c r="C29" s="8">
        <f>_xlfn.MAXIFS(Recoleccion!$A$2:$A$16,Recoleccion!$D$2:$D$16,E29)</f>
        <v/>
      </c>
      <c r="D29" s="26">
        <f>SUMIFS(Recoleccion!$B$2:$B$16,Recoleccion!$D$2:$D$16,E29)</f>
        <v/>
      </c>
      <c r="E29" s="19">
        <f>Precios!$E$3</f>
        <v/>
      </c>
      <c r="F29" s="20">
        <f>ROUND(D29*E29,2)</f>
        <v/>
      </c>
    </row>
    <row r="30">
      <c r="A30" s="13" t="inlineStr">
        <is>
          <t>Total</t>
        </is>
      </c>
      <c r="D30" s="21">
        <f>SUM(D28:D29)</f>
        <v/>
      </c>
      <c r="F30" s="22">
        <f>SUM(F28:F29)</f>
        <v/>
      </c>
    </row>
    <row r="32">
      <c r="A32" s="3" t="inlineStr">
        <is>
          <t>Ejemplo del JSON que se guardaría</t>
        </is>
      </c>
    </row>
    <row r="33">
      <c r="A33" s="28">
        <f>CONCATENATE("[{""desde"":""",TEXT(B28,"yyyy-mm-dd"),""",""hasta"":""",TEXT(C28,"yyyy-mm-dd"),""",""litros"":",D28,",""precio"":",E28,"},{""desde"":""",TEXT(B29,"yyyy-mm-dd"),""",""hasta"":""",TEXT(C29,"yyyy-mm-dd"),""",""litros"":",D29,",""precio"":",E29,"}]")</f>
        <v/>
      </c>
    </row>
    <row r="35">
      <c r="A35" s="3" t="inlineStr">
        <is>
          <t>Comprobaciones de integridad (todas deben decir OK)</t>
        </is>
      </c>
    </row>
    <row r="36">
      <c r="A36" s="10" t="inlineStr">
        <is>
          <t>Los litros del ejemplo coinciden con los de la BD</t>
        </is>
      </c>
      <c r="B36" s="14">
        <f>IF(ABS(B16-E16)&lt;0.005,"OK","REVISAR")</f>
        <v/>
      </c>
    </row>
    <row r="37">
      <c r="A37" s="10" t="inlineStr">
        <is>
          <t>La fórmula con el precio único reproduce lo guardado en la BD (ingresos)</t>
        </is>
      </c>
      <c r="B37" s="14">
        <f>IF(ABS(D18-E18)&lt;0.005,"OK","REVISAR")</f>
        <v/>
      </c>
    </row>
    <row r="38">
      <c r="A38" s="10" t="inlineStr">
        <is>
          <t>...y el neto a pagar</t>
        </is>
      </c>
      <c r="B38" s="14">
        <f>IF(ABS(D24-E24)&lt;0.005,"OK","REVISAR")</f>
        <v/>
      </c>
    </row>
    <row r="39">
      <c r="A39" s="10" t="inlineStr">
        <is>
          <t>Variable: la suma de los tramos es igual a los ingresos</t>
        </is>
      </c>
      <c r="B39" s="14">
        <f>IF(ABS(F30-C18)&lt;0.005,"OK","REVISAR")</f>
        <v/>
      </c>
    </row>
    <row r="40">
      <c r="A40" s="10" t="inlineStr">
        <is>
          <t>Variable: los litros de los tramos son todos los litros</t>
        </is>
      </c>
      <c r="B40" s="14">
        <f>IF(ABS(D30-C16)&lt;0.005,"OK","REVISAR")</f>
        <v/>
      </c>
    </row>
    <row r="41">
      <c r="A41" s="10" t="inlineStr">
        <is>
          <t>Todos los días tienen un precio vigente</t>
        </is>
      </c>
      <c r="B41" s="14">
        <f>IF(Recoleccion!D19=0,"OK","REVISAR")</f>
        <v/>
      </c>
    </row>
    <row r="42">
      <c r="A42" s="10" t="inlineStr">
        <is>
          <t>Los rangos de precios no se solapan</t>
        </is>
      </c>
      <c r="B42" s="14">
        <f>IF(SUM(Precios!G2:G4)=0,"OK","REVISAR")</f>
        <v/>
      </c>
    </row>
    <row r="43">
      <c r="A43" s="10" t="inlineStr">
        <is>
          <t>Neto de la liquidación no negativo (fija y variable)</t>
        </is>
      </c>
      <c r="B43" s="14">
        <f>IF(AND(B24&gt;=0,C24&gt;=0),"OK","REVISAR")</f>
        <v/>
      </c>
    </row>
    <row r="45">
      <c r="A45" s="13" t="inlineStr">
        <is>
          <t>Diferencia variable − fija (neto a pagar)</t>
        </is>
      </c>
      <c r="B45" s="22">
        <f>C24-B24</f>
        <v/>
      </c>
    </row>
    <row r="46">
      <c r="A46" s="17" t="inlineStr">
        <is>
          <t>Negativa porque, con el precio hipotético más alto, la fija paga todos los litros a 1.800 y la variable paga los primeros 7 días a 1.700.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2026-10-08T19:58:52Z</dcterms:created>
  <dcterms:modified xmlns:dcterms="http://purl.org/dc/terms/" xmlns:xsi="http://www.w3.org/2001/XMLSchema-instance" xsi:type="dcterms:W3CDTF">2026-10-08T19:58:52Z</dcterms:modified>
</cp:coreProperties>
</file>